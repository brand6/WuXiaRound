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/>
  <workbookPr filterPrivacy="1"/>
  <xr:revisionPtr revIDLastSave="0" documentId="13_ncr:1_{D0B20D01-3D3F-47E0-8A1C-0AE619F3292F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#参数" sheetId="2" r:id="rId1"/>
    <sheet name="BaseProperty" sheetId="4" r:id="rId2"/>
    <sheet name="Hero" sheetId="3" r:id="rId3"/>
    <sheet name="Skill" sheetId="1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2" l="1"/>
  <c r="G13" i="2"/>
  <c r="F14" i="2"/>
  <c r="G14" i="2"/>
  <c r="F15" i="2"/>
  <c r="G15" i="2"/>
  <c r="F16" i="2"/>
  <c r="G16" i="2"/>
  <c r="G12" i="2"/>
  <c r="F12" i="2"/>
  <c r="L16" i="2"/>
  <c r="L6" i="2"/>
  <c r="G3" i="1"/>
  <c r="H3" i="1"/>
  <c r="I3" i="1"/>
  <c r="J3" i="1"/>
  <c r="K3" i="1"/>
  <c r="L3" i="1"/>
  <c r="M3" i="1"/>
  <c r="N3" i="1"/>
  <c r="G4" i="1"/>
  <c r="H4" i="1"/>
  <c r="I4" i="1"/>
  <c r="J4" i="1"/>
  <c r="K4" i="1"/>
  <c r="L4" i="1"/>
  <c r="M4" i="1"/>
  <c r="N4" i="1"/>
  <c r="G6" i="1"/>
  <c r="H6" i="1"/>
  <c r="I6" i="1"/>
  <c r="J6" i="1"/>
  <c r="K6" i="1"/>
  <c r="L6" i="1"/>
  <c r="M6" i="1"/>
  <c r="N6" i="1"/>
  <c r="G5" i="1"/>
  <c r="H5" i="1"/>
  <c r="I5" i="1"/>
  <c r="J5" i="1"/>
  <c r="K5" i="1"/>
  <c r="L5" i="1"/>
  <c r="M5" i="1"/>
  <c r="N5" i="1"/>
  <c r="G8" i="1"/>
  <c r="H8" i="1"/>
  <c r="I8" i="1"/>
  <c r="J8" i="1"/>
  <c r="K8" i="1"/>
  <c r="L8" i="1"/>
  <c r="M8" i="1"/>
  <c r="N8" i="1"/>
  <c r="G7" i="1"/>
  <c r="H7" i="1"/>
  <c r="I7" i="1"/>
  <c r="J7" i="1"/>
  <c r="K7" i="1"/>
  <c r="L7" i="1"/>
  <c r="M7" i="1"/>
  <c r="N7" i="1"/>
  <c r="H2" i="1"/>
  <c r="I2" i="1"/>
  <c r="J2" i="1"/>
  <c r="K2" i="1"/>
  <c r="L2" i="1"/>
  <c r="M2" i="1"/>
  <c r="N2" i="1"/>
  <c r="G2" i="1"/>
  <c r="D8" i="2"/>
  <c r="D9" i="2"/>
  <c r="D14" i="2" s="1"/>
  <c r="D10" i="2"/>
  <c r="D15" i="2" s="1"/>
  <c r="D11" i="2"/>
  <c r="D16" i="2" s="1"/>
  <c r="D12" i="2"/>
  <c r="D13" i="2"/>
  <c r="D7" i="2"/>
  <c r="K8" i="2"/>
  <c r="K9" i="2"/>
  <c r="K10" i="2"/>
  <c r="K11" i="2"/>
  <c r="K12" i="2"/>
  <c r="K13" i="2"/>
  <c r="K14" i="2"/>
  <c r="K15" i="2"/>
  <c r="K16" i="2"/>
  <c r="K7" i="2"/>
  <c r="J8" i="2"/>
  <c r="J13" i="2" s="1"/>
  <c r="J9" i="2"/>
  <c r="J14" i="2" s="1"/>
  <c r="J10" i="2"/>
  <c r="J15" i="2" s="1"/>
  <c r="J11" i="2"/>
  <c r="J12" i="2"/>
  <c r="J16" i="2"/>
  <c r="J7" i="2"/>
  <c r="I16" i="2"/>
  <c r="I15" i="2"/>
  <c r="I14" i="2"/>
  <c r="I13" i="2"/>
  <c r="I12" i="2"/>
  <c r="H14" i="2"/>
  <c r="H12" i="2"/>
  <c r="H8" i="2"/>
  <c r="H13" i="2" s="1"/>
  <c r="H9" i="2"/>
  <c r="H10" i="2"/>
  <c r="H15" i="2" s="1"/>
  <c r="H11" i="2"/>
  <c r="H16" i="2" s="1"/>
  <c r="H7" i="2"/>
  <c r="F8" i="2"/>
  <c r="F9" i="2"/>
  <c r="F10" i="2"/>
  <c r="F11" i="2"/>
  <c r="F7" i="2"/>
  <c r="E8" i="2"/>
  <c r="E13" i="2" s="1"/>
  <c r="E9" i="2"/>
  <c r="E10" i="2"/>
  <c r="E11" i="2"/>
  <c r="E12" i="2"/>
  <c r="E14" i="2"/>
  <c r="E15" i="2"/>
  <c r="E16" i="2"/>
  <c r="E7" i="2"/>
  <c r="A13" i="2"/>
  <c r="A14" i="2"/>
  <c r="A15" i="2"/>
  <c r="A16" i="2"/>
  <c r="A2" i="2"/>
  <c r="A3" i="2"/>
  <c r="A4" i="2"/>
  <c r="A5" i="2"/>
  <c r="A6" i="2"/>
  <c r="A7" i="2"/>
  <c r="A8" i="2"/>
  <c r="A9" i="2"/>
  <c r="A10" i="2"/>
  <c r="A11" i="2"/>
  <c r="A12" i="2"/>
</calcChain>
</file>

<file path=xl/sharedStrings.xml><?xml version="1.0" encoding="utf-8"?>
<sst xmlns="http://schemas.openxmlformats.org/spreadsheetml/2006/main" count="96" uniqueCount="50">
  <si>
    <t>名称</t>
    <phoneticPr fontId="1" type="noConversion"/>
  </si>
  <si>
    <t>级别</t>
    <phoneticPr fontId="1" type="noConversion"/>
  </si>
  <si>
    <t>门派</t>
    <phoneticPr fontId="1" type="noConversion"/>
  </si>
  <si>
    <t>所需武常</t>
    <phoneticPr fontId="1" type="noConversion"/>
  </si>
  <si>
    <t>罗汉拳</t>
    <phoneticPr fontId="1" type="noConversion"/>
  </si>
  <si>
    <t>韦陀掌</t>
    <phoneticPr fontId="1" type="noConversion"/>
  </si>
  <si>
    <t>降魔掌</t>
    <phoneticPr fontId="1" type="noConversion"/>
  </si>
  <si>
    <t>般若掌</t>
    <phoneticPr fontId="1" type="noConversion"/>
  </si>
  <si>
    <t>类型</t>
    <phoneticPr fontId="1" type="noConversion"/>
  </si>
  <si>
    <t>拳掌</t>
    <phoneticPr fontId="1" type="noConversion"/>
  </si>
  <si>
    <t>少林</t>
    <phoneticPr fontId="1" type="noConversion"/>
  </si>
  <si>
    <t>招式伤害</t>
    <phoneticPr fontId="1" type="noConversion"/>
  </si>
  <si>
    <t>柔劲系数</t>
    <phoneticPr fontId="1" type="noConversion"/>
  </si>
  <si>
    <t>刚劲系数</t>
    <phoneticPr fontId="1" type="noConversion"/>
  </si>
  <si>
    <t>武常提升</t>
    <phoneticPr fontId="1" type="noConversion"/>
  </si>
  <si>
    <t>柔劲提升</t>
    <phoneticPr fontId="1" type="noConversion"/>
  </si>
  <si>
    <t>刚劲提升</t>
    <phoneticPr fontId="1" type="noConversion"/>
  </si>
  <si>
    <t>精通提升</t>
    <phoneticPr fontId="1" type="noConversion"/>
  </si>
  <si>
    <t>柔</t>
    <phoneticPr fontId="1" type="noConversion"/>
  </si>
  <si>
    <t>刚</t>
    <phoneticPr fontId="1" type="noConversion"/>
  </si>
  <si>
    <t>index</t>
    <phoneticPr fontId="1" type="noConversion"/>
  </si>
  <si>
    <t>刚柔</t>
    <phoneticPr fontId="1" type="noConversion"/>
  </si>
  <si>
    <t>千手如来掌</t>
    <phoneticPr fontId="1" type="noConversion"/>
  </si>
  <si>
    <t>须弥山掌</t>
    <phoneticPr fontId="1" type="noConversion"/>
  </si>
  <si>
    <t>大金刚掌</t>
    <phoneticPr fontId="1" type="noConversion"/>
  </si>
  <si>
    <t>发劲</t>
    <phoneticPr fontId="1" type="noConversion"/>
  </si>
  <si>
    <t>劈空掌</t>
    <phoneticPr fontId="1" type="noConversion"/>
  </si>
  <si>
    <t>空</t>
    <phoneticPr fontId="1" type="noConversion"/>
  </si>
  <si>
    <t>韧</t>
    <phoneticPr fontId="1" type="noConversion"/>
  </si>
  <si>
    <t>虚实</t>
    <phoneticPr fontId="1" type="noConversion"/>
  </si>
  <si>
    <t>猛</t>
    <phoneticPr fontId="1" type="noConversion"/>
  </si>
  <si>
    <t>介绍</t>
    <phoneticPr fontId="1" type="noConversion"/>
  </si>
  <si>
    <t>佛门第一掌法，永无穷尽，一旦至刚至满顿悟为至空，方得终成。</t>
    <phoneticPr fontId="1" type="noConversion"/>
  </si>
  <si>
    <t>百年难有人炼成的刚猛雄浑掌法。</t>
    <phoneticPr fontId="1" type="noConversion"/>
  </si>
  <si>
    <t>神奇无比的远程掌力，远近如意，一丈外的掌力丝毫不减，蓄力于虚，如掌藏须弥。</t>
    <phoneticPr fontId="1" type="noConversion"/>
  </si>
  <si>
    <t>空明拳</t>
    <phoneticPr fontId="1" type="noConversion"/>
  </si>
  <si>
    <t>Level</t>
    <phoneticPr fontId="1" type="noConversion"/>
  </si>
  <si>
    <t>GongJi</t>
    <phoneticPr fontId="1" type="noConversion"/>
  </si>
  <si>
    <t>FangYu</t>
    <phoneticPr fontId="1" type="noConversion"/>
  </si>
  <si>
    <t>ShengMing</t>
    <phoneticPr fontId="1" type="noConversion"/>
  </si>
  <si>
    <t>NeiLi</t>
    <phoneticPr fontId="1" type="noConversion"/>
  </si>
  <si>
    <t>Name</t>
    <phoneticPr fontId="1" type="noConversion"/>
  </si>
  <si>
    <t>主角</t>
    <phoneticPr fontId="1" type="noConversion"/>
  </si>
  <si>
    <t>欧阳锋</t>
    <phoneticPr fontId="1" type="noConversion"/>
  </si>
  <si>
    <t>黄药师</t>
    <phoneticPr fontId="1" type="noConversion"/>
  </si>
  <si>
    <t>一灯大师</t>
    <phoneticPr fontId="1" type="noConversion"/>
  </si>
  <si>
    <t>王重阳</t>
    <phoneticPr fontId="1" type="noConversion"/>
  </si>
  <si>
    <t>周伯通</t>
    <phoneticPr fontId="1" type="noConversion"/>
  </si>
  <si>
    <t>洪七公</t>
    <phoneticPr fontId="1" type="noConversion"/>
  </si>
  <si>
    <t>UID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</si>
</sst>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F0E1D-AEDE-4722-AFD1-DFE6EC82DAC1}">
  <dimension ref="A1:L16"/>
  <sheetViews>
    <sheetView workbookViewId="0">
      <selection activeCell="O28" sqref="O28"/>
    </sheetView>
  </sheetViews>
  <sheetFormatPr defaultRowHeight="16.5" x14ac:dyDescent="0.2"/>
  <cols>
    <col min="1" max="1" width="5.625" style="2" bestFit="1" customWidth="1"/>
    <col min="2" max="3" width="4.75" style="2" bestFit="1" customWidth="1"/>
    <col min="4" max="4" width="4.75" style="2" customWidth="1"/>
    <col min="5" max="5" width="5.5" style="2" bestFit="1" customWidth="1"/>
    <col min="6" max="9" width="4.75" style="1" bestFit="1" customWidth="1"/>
    <col min="10" max="10" width="5" style="2" customWidth="1"/>
    <col min="11" max="11" width="5.125" style="2" customWidth="1"/>
    <col min="12" max="16384" width="9" style="2"/>
  </cols>
  <sheetData>
    <row r="1" spans="1:12" s="1" customFormat="1" ht="33" x14ac:dyDescent="0.2">
      <c r="A1" s="1" t="s">
        <v>20</v>
      </c>
      <c r="B1" s="1" t="s">
        <v>1</v>
      </c>
      <c r="C1" s="1" t="s">
        <v>21</v>
      </c>
      <c r="D1" s="1" t="s">
        <v>3</v>
      </c>
      <c r="E1" s="1" t="s">
        <v>11</v>
      </c>
      <c r="F1" s="1" t="s">
        <v>12</v>
      </c>
      <c r="G1" s="1" t="s">
        <v>13</v>
      </c>
      <c r="H1" s="1" t="s">
        <v>15</v>
      </c>
      <c r="I1" s="1" t="s">
        <v>16</v>
      </c>
      <c r="J1" s="1" t="s">
        <v>17</v>
      </c>
      <c r="K1" s="1" t="s">
        <v>14</v>
      </c>
    </row>
    <row r="2" spans="1:12" x14ac:dyDescent="0.2">
      <c r="A2" s="2" t="str">
        <f t="shared" ref="A2:A12" si="0">B2&amp;C2</f>
        <v>1刚</v>
      </c>
      <c r="B2" s="2">
        <v>1</v>
      </c>
      <c r="C2" s="2" t="s">
        <v>19</v>
      </c>
      <c r="D2" s="2">
        <v>0</v>
      </c>
      <c r="E2" s="2">
        <v>100</v>
      </c>
      <c r="F2" s="2"/>
      <c r="G2" s="1">
        <v>1</v>
      </c>
      <c r="I2" s="1">
        <v>50</v>
      </c>
      <c r="J2" s="2">
        <v>10</v>
      </c>
      <c r="K2" s="2">
        <v>10</v>
      </c>
    </row>
    <row r="3" spans="1:12" x14ac:dyDescent="0.2">
      <c r="A3" s="2" t="str">
        <f t="shared" si="0"/>
        <v>2刚</v>
      </c>
      <c r="B3" s="2">
        <v>2</v>
      </c>
      <c r="C3" s="2" t="s">
        <v>19</v>
      </c>
      <c r="D3" s="2">
        <v>10</v>
      </c>
      <c r="E3" s="2">
        <v>200</v>
      </c>
      <c r="F3" s="2"/>
      <c r="G3" s="1">
        <v>1.1000000000000001</v>
      </c>
      <c r="I3" s="1">
        <v>60</v>
      </c>
      <c r="J3" s="2">
        <v>20</v>
      </c>
      <c r="K3" s="2">
        <v>20</v>
      </c>
    </row>
    <row r="4" spans="1:12" x14ac:dyDescent="0.2">
      <c r="A4" s="2" t="str">
        <f t="shared" si="0"/>
        <v>3刚</v>
      </c>
      <c r="B4" s="2">
        <v>3</v>
      </c>
      <c r="C4" s="2" t="s">
        <v>19</v>
      </c>
      <c r="D4" s="2">
        <v>20</v>
      </c>
      <c r="E4" s="2">
        <v>400</v>
      </c>
      <c r="F4" s="2"/>
      <c r="G4" s="1">
        <v>1.3</v>
      </c>
      <c r="I4" s="1">
        <v>80</v>
      </c>
      <c r="J4" s="2">
        <v>40</v>
      </c>
      <c r="K4" s="2">
        <v>30</v>
      </c>
    </row>
    <row r="5" spans="1:12" x14ac:dyDescent="0.2">
      <c r="A5" s="2" t="str">
        <f t="shared" si="0"/>
        <v>4刚</v>
      </c>
      <c r="B5" s="2">
        <v>4</v>
      </c>
      <c r="C5" s="2" t="s">
        <v>19</v>
      </c>
      <c r="D5" s="2">
        <v>50</v>
      </c>
      <c r="E5" s="2">
        <v>800</v>
      </c>
      <c r="F5" s="2"/>
      <c r="G5" s="1">
        <v>1.6</v>
      </c>
      <c r="I5" s="1">
        <v>120</v>
      </c>
      <c r="J5" s="2">
        <v>80</v>
      </c>
      <c r="K5" s="2">
        <v>40</v>
      </c>
    </row>
    <row r="6" spans="1:12" x14ac:dyDescent="0.2">
      <c r="A6" s="2" t="str">
        <f t="shared" si="0"/>
        <v>5刚</v>
      </c>
      <c r="B6" s="2">
        <v>5</v>
      </c>
      <c r="C6" s="2" t="s">
        <v>19</v>
      </c>
      <c r="D6" s="2">
        <v>90</v>
      </c>
      <c r="E6" s="2">
        <v>1600</v>
      </c>
      <c r="F6" s="2"/>
      <c r="G6" s="1">
        <v>2</v>
      </c>
      <c r="I6" s="1">
        <v>200</v>
      </c>
      <c r="J6" s="2">
        <v>160</v>
      </c>
      <c r="K6" s="2">
        <v>50</v>
      </c>
      <c r="L6" s="2">
        <f>SUM(I2:I6)*G6</f>
        <v>1020</v>
      </c>
    </row>
    <row r="7" spans="1:12" x14ac:dyDescent="0.2">
      <c r="A7" s="2" t="str">
        <f t="shared" si="0"/>
        <v>1柔</v>
      </c>
      <c r="B7" s="2">
        <v>1</v>
      </c>
      <c r="C7" s="2" t="s">
        <v>18</v>
      </c>
      <c r="D7" s="2">
        <f>D2</f>
        <v>0</v>
      </c>
      <c r="E7" s="2">
        <f>E2</f>
        <v>100</v>
      </c>
      <c r="F7" s="1">
        <f>G2</f>
        <v>1</v>
      </c>
      <c r="H7" s="1">
        <f>I2</f>
        <v>50</v>
      </c>
      <c r="J7" s="2">
        <f>J2</f>
        <v>10</v>
      </c>
      <c r="K7" s="2">
        <f>K2</f>
        <v>10</v>
      </c>
    </row>
    <row r="8" spans="1:12" x14ac:dyDescent="0.2">
      <c r="A8" s="2" t="str">
        <f t="shared" si="0"/>
        <v>2柔</v>
      </c>
      <c r="B8" s="2">
        <v>2</v>
      </c>
      <c r="C8" s="2" t="s">
        <v>18</v>
      </c>
      <c r="D8" s="2">
        <f t="shared" ref="D8:D16" si="1">D3</f>
        <v>10</v>
      </c>
      <c r="E8" s="2">
        <f t="shared" ref="E8:F16" si="2">E3</f>
        <v>200</v>
      </c>
      <c r="F8" s="1">
        <f t="shared" ref="F8:F11" si="3">G3</f>
        <v>1.1000000000000001</v>
      </c>
      <c r="H8" s="1">
        <f t="shared" ref="H8:H11" si="4">I3</f>
        <v>60</v>
      </c>
      <c r="J8" s="2">
        <f t="shared" ref="J8:K16" si="5">J3</f>
        <v>20</v>
      </c>
      <c r="K8" s="2">
        <f t="shared" si="5"/>
        <v>20</v>
      </c>
    </row>
    <row r="9" spans="1:12" x14ac:dyDescent="0.2">
      <c r="A9" s="2" t="str">
        <f t="shared" si="0"/>
        <v>3柔</v>
      </c>
      <c r="B9" s="2">
        <v>3</v>
      </c>
      <c r="C9" s="2" t="s">
        <v>18</v>
      </c>
      <c r="D9" s="2">
        <f t="shared" si="1"/>
        <v>20</v>
      </c>
      <c r="E9" s="2">
        <f t="shared" si="2"/>
        <v>400</v>
      </c>
      <c r="F9" s="1">
        <f t="shared" si="3"/>
        <v>1.3</v>
      </c>
      <c r="H9" s="1">
        <f t="shared" si="4"/>
        <v>80</v>
      </c>
      <c r="J9" s="2">
        <f t="shared" si="5"/>
        <v>40</v>
      </c>
      <c r="K9" s="2">
        <f t="shared" si="5"/>
        <v>30</v>
      </c>
    </row>
    <row r="10" spans="1:12" x14ac:dyDescent="0.2">
      <c r="A10" s="2" t="str">
        <f t="shared" si="0"/>
        <v>4柔</v>
      </c>
      <c r="B10" s="2">
        <v>4</v>
      </c>
      <c r="C10" s="2" t="s">
        <v>18</v>
      </c>
      <c r="D10" s="2">
        <f t="shared" si="1"/>
        <v>50</v>
      </c>
      <c r="E10" s="2">
        <f t="shared" si="2"/>
        <v>800</v>
      </c>
      <c r="F10" s="1">
        <f t="shared" si="3"/>
        <v>1.6</v>
      </c>
      <c r="H10" s="1">
        <f t="shared" si="4"/>
        <v>120</v>
      </c>
      <c r="J10" s="2">
        <f t="shared" si="5"/>
        <v>80</v>
      </c>
      <c r="K10" s="2">
        <f t="shared" si="5"/>
        <v>40</v>
      </c>
    </row>
    <row r="11" spans="1:12" x14ac:dyDescent="0.2">
      <c r="A11" s="2" t="str">
        <f t="shared" si="0"/>
        <v>5柔</v>
      </c>
      <c r="B11" s="2">
        <v>5</v>
      </c>
      <c r="C11" s="2" t="s">
        <v>18</v>
      </c>
      <c r="D11" s="2">
        <f t="shared" si="1"/>
        <v>90</v>
      </c>
      <c r="E11" s="2">
        <f t="shared" si="2"/>
        <v>1600</v>
      </c>
      <c r="F11" s="1">
        <f t="shared" si="3"/>
        <v>2</v>
      </c>
      <c r="H11" s="1">
        <f t="shared" si="4"/>
        <v>200</v>
      </c>
      <c r="J11" s="2">
        <f t="shared" si="5"/>
        <v>160</v>
      </c>
      <c r="K11" s="2">
        <f t="shared" si="5"/>
        <v>50</v>
      </c>
    </row>
    <row r="12" spans="1:12" x14ac:dyDescent="0.2">
      <c r="A12" s="2" t="str">
        <f t="shared" si="0"/>
        <v>1</v>
      </c>
      <c r="B12" s="2">
        <v>1</v>
      </c>
      <c r="D12" s="2">
        <f t="shared" si="1"/>
        <v>0</v>
      </c>
      <c r="E12" s="2">
        <f t="shared" si="2"/>
        <v>100</v>
      </c>
      <c r="F12" s="2">
        <f>F7</f>
        <v>1</v>
      </c>
      <c r="G12" s="2">
        <f>G2</f>
        <v>1</v>
      </c>
      <c r="H12" s="2">
        <f t="shared" ref="H12:H16" si="6">H7/2</f>
        <v>25</v>
      </c>
      <c r="I12" s="2">
        <f t="shared" ref="I12:I16" si="7">I2/2</f>
        <v>25</v>
      </c>
      <c r="J12" s="2">
        <f t="shared" si="5"/>
        <v>10</v>
      </c>
      <c r="K12" s="2">
        <f t="shared" si="5"/>
        <v>10</v>
      </c>
    </row>
    <row r="13" spans="1:12" x14ac:dyDescent="0.2">
      <c r="A13" s="2" t="str">
        <f t="shared" ref="A13:A16" si="8">B13&amp;C13</f>
        <v>2</v>
      </c>
      <c r="B13" s="2">
        <v>2</v>
      </c>
      <c r="D13" s="2">
        <f t="shared" si="1"/>
        <v>10</v>
      </c>
      <c r="E13" s="2">
        <f t="shared" si="2"/>
        <v>200</v>
      </c>
      <c r="F13" s="2">
        <f t="shared" si="2"/>
        <v>1.1000000000000001</v>
      </c>
      <c r="G13" s="2">
        <f t="shared" ref="G13:G16" si="9">G3</f>
        <v>1.1000000000000001</v>
      </c>
      <c r="H13" s="2">
        <f t="shared" si="6"/>
        <v>30</v>
      </c>
      <c r="I13" s="2">
        <f t="shared" si="7"/>
        <v>30</v>
      </c>
      <c r="J13" s="2">
        <f t="shared" si="5"/>
        <v>20</v>
      </c>
      <c r="K13" s="2">
        <f t="shared" si="5"/>
        <v>20</v>
      </c>
    </row>
    <row r="14" spans="1:12" x14ac:dyDescent="0.2">
      <c r="A14" s="2" t="str">
        <f t="shared" si="8"/>
        <v>3</v>
      </c>
      <c r="B14" s="2">
        <v>3</v>
      </c>
      <c r="D14" s="2">
        <f t="shared" si="1"/>
        <v>20</v>
      </c>
      <c r="E14" s="2">
        <f t="shared" si="2"/>
        <v>400</v>
      </c>
      <c r="F14" s="2">
        <f t="shared" si="2"/>
        <v>1.3</v>
      </c>
      <c r="G14" s="2">
        <f t="shared" si="9"/>
        <v>1.3</v>
      </c>
      <c r="H14" s="2">
        <f t="shared" si="6"/>
        <v>40</v>
      </c>
      <c r="I14" s="2">
        <f t="shared" si="7"/>
        <v>40</v>
      </c>
      <c r="J14" s="2">
        <f t="shared" si="5"/>
        <v>40</v>
      </c>
      <c r="K14" s="2">
        <f t="shared" si="5"/>
        <v>30</v>
      </c>
    </row>
    <row r="15" spans="1:12" x14ac:dyDescent="0.2">
      <c r="A15" s="2" t="str">
        <f t="shared" si="8"/>
        <v>4</v>
      </c>
      <c r="B15" s="2">
        <v>4</v>
      </c>
      <c r="D15" s="2">
        <f t="shared" si="1"/>
        <v>50</v>
      </c>
      <c r="E15" s="2">
        <f t="shared" si="2"/>
        <v>800</v>
      </c>
      <c r="F15" s="2">
        <f t="shared" si="2"/>
        <v>1.6</v>
      </c>
      <c r="G15" s="2">
        <f t="shared" si="9"/>
        <v>1.6</v>
      </c>
      <c r="H15" s="2">
        <f t="shared" si="6"/>
        <v>60</v>
      </c>
      <c r="I15" s="2">
        <f t="shared" si="7"/>
        <v>60</v>
      </c>
      <c r="J15" s="2">
        <f t="shared" si="5"/>
        <v>80</v>
      </c>
      <c r="K15" s="2">
        <f t="shared" si="5"/>
        <v>40</v>
      </c>
    </row>
    <row r="16" spans="1:12" x14ac:dyDescent="0.2">
      <c r="A16" s="2" t="str">
        <f t="shared" si="8"/>
        <v>5</v>
      </c>
      <c r="B16" s="2">
        <v>5</v>
      </c>
      <c r="D16" s="2">
        <f t="shared" si="1"/>
        <v>90</v>
      </c>
      <c r="E16" s="2">
        <f t="shared" si="2"/>
        <v>1600</v>
      </c>
      <c r="F16" s="2">
        <f t="shared" si="2"/>
        <v>2</v>
      </c>
      <c r="G16" s="2">
        <f t="shared" si="9"/>
        <v>2</v>
      </c>
      <c r="H16" s="2">
        <f t="shared" si="6"/>
        <v>100</v>
      </c>
      <c r="I16" s="2">
        <f t="shared" si="7"/>
        <v>100</v>
      </c>
      <c r="J16" s="2">
        <f t="shared" si="5"/>
        <v>160</v>
      </c>
      <c r="K16" s="2">
        <f t="shared" si="5"/>
        <v>50</v>
      </c>
      <c r="L16" s="2">
        <f>SUM(I12:I16)*G16*2</f>
        <v>1020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81136-89F3-43D9-A8C3-2A3F58D4176D}">
  <dimension ref="A1:J5"/>
  <sheetViews>
    <sheetView workbookViewId="0">
      <selection activeCell="I18" sqref="I18"/>
    </sheetView>
  </sheetViews>
  <sheetFormatPr defaultRowHeight="14.25" x14ac:dyDescent="0.2"/>
  <cols>
    <col min="1" max="1" width="10.875" bestFit="1" customWidth="1"/>
    <col min="2" max="5" width="4.5" bestFit="1" customWidth="1"/>
    <col min="6" max="10" width="5.5" bestFit="1" customWidth="1"/>
  </cols>
  <sheetData>
    <row r="1" spans="1:10" x14ac:dyDescent="0.2">
      <c r="A1" t="s">
        <v>36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37</v>
      </c>
      <c r="B2">
        <v>100</v>
      </c>
      <c r="C2">
        <v>200</v>
      </c>
      <c r="D2">
        <v>300</v>
      </c>
      <c r="E2">
        <v>400</v>
      </c>
      <c r="F2">
        <v>500</v>
      </c>
      <c r="G2">
        <v>600</v>
      </c>
      <c r="H2">
        <v>700</v>
      </c>
      <c r="I2">
        <v>800</v>
      </c>
      <c r="J2">
        <v>900</v>
      </c>
    </row>
    <row r="3" spans="1:10" x14ac:dyDescent="0.2">
      <c r="A3" t="s">
        <v>38</v>
      </c>
      <c r="B3">
        <v>50</v>
      </c>
      <c r="C3">
        <v>100</v>
      </c>
      <c r="D3">
        <v>150</v>
      </c>
      <c r="E3">
        <v>200</v>
      </c>
      <c r="F3">
        <v>250</v>
      </c>
      <c r="G3">
        <v>300</v>
      </c>
      <c r="H3">
        <v>350</v>
      </c>
      <c r="I3">
        <v>400</v>
      </c>
      <c r="J3">
        <v>450</v>
      </c>
    </row>
    <row r="4" spans="1:10" x14ac:dyDescent="0.2">
      <c r="A4" t="s">
        <v>39</v>
      </c>
      <c r="B4">
        <v>200</v>
      </c>
      <c r="C4">
        <v>400</v>
      </c>
      <c r="D4">
        <v>600</v>
      </c>
      <c r="E4">
        <v>800</v>
      </c>
      <c r="F4">
        <v>1000</v>
      </c>
      <c r="G4">
        <v>1200</v>
      </c>
      <c r="H4">
        <v>1400</v>
      </c>
      <c r="I4">
        <v>1600</v>
      </c>
      <c r="J4">
        <v>1800</v>
      </c>
    </row>
    <row r="5" spans="1:10" x14ac:dyDescent="0.2">
      <c r="A5" t="s">
        <v>40</v>
      </c>
      <c r="B5">
        <v>100</v>
      </c>
      <c r="C5">
        <v>200</v>
      </c>
      <c r="D5">
        <v>300</v>
      </c>
      <c r="E5">
        <v>400</v>
      </c>
      <c r="F5">
        <v>500</v>
      </c>
      <c r="G5">
        <v>600</v>
      </c>
      <c r="H5">
        <v>700</v>
      </c>
      <c r="I5">
        <v>800</v>
      </c>
      <c r="J5">
        <v>900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A680-6E36-40A9-9CA3-57C1194D9199}">
  <dimension ref="A1:F8"/>
  <sheetViews>
    <sheetView tabSelected="1" workbookViewId="0">
      <selection activeCell="G13" sqref="G13"/>
    </sheetView>
  </sheetViews>
  <sheetFormatPr defaultRowHeight="14.25" x14ac:dyDescent="0.2"/>
  <cols>
    <col min="1" max="1" width="5.625" bestFit="1" customWidth="1"/>
    <col min="2" max="2" width="9" bestFit="1" customWidth="1"/>
    <col min="3" max="3" width="7" bestFit="1" customWidth="1"/>
    <col min="4" max="4" width="7.5" bestFit="1" customWidth="1"/>
    <col min="5" max="5" width="10.875" bestFit="1" customWidth="1"/>
    <col min="6" max="6" width="5.5" bestFit="1" customWidth="1"/>
  </cols>
  <sheetData>
    <row r="1" spans="1:6" x14ac:dyDescent="0.2">
      <c r="A1" t="s">
        <v>49</v>
      </c>
      <c r="B1" t="s">
        <v>41</v>
      </c>
      <c r="C1" t="s">
        <v>37</v>
      </c>
      <c r="D1" t="s">
        <v>38</v>
      </c>
      <c r="E1" t="s">
        <v>39</v>
      </c>
      <c r="F1" t="s">
        <v>40</v>
      </c>
    </row>
    <row r="2" spans="1:6" x14ac:dyDescent="0.2">
      <c r="A2">
        <v>1001</v>
      </c>
      <c r="B2" t="s">
        <v>42</v>
      </c>
      <c r="C2">
        <v>1</v>
      </c>
      <c r="D2">
        <v>1</v>
      </c>
      <c r="E2">
        <v>1</v>
      </c>
      <c r="F2">
        <v>1</v>
      </c>
    </row>
    <row r="3" spans="1:6" x14ac:dyDescent="0.2">
      <c r="A3">
        <v>1002</v>
      </c>
      <c r="B3" t="s">
        <v>44</v>
      </c>
      <c r="C3">
        <v>1</v>
      </c>
      <c r="D3">
        <v>1</v>
      </c>
      <c r="E3">
        <v>1</v>
      </c>
      <c r="F3">
        <v>1</v>
      </c>
    </row>
    <row r="4" spans="1:6" x14ac:dyDescent="0.2">
      <c r="A4">
        <v>1003</v>
      </c>
      <c r="B4" t="s">
        <v>43</v>
      </c>
      <c r="C4">
        <v>1</v>
      </c>
      <c r="D4">
        <v>1</v>
      </c>
      <c r="E4">
        <v>1</v>
      </c>
      <c r="F4">
        <v>1</v>
      </c>
    </row>
    <row r="5" spans="1:6" x14ac:dyDescent="0.2">
      <c r="A5">
        <v>1004</v>
      </c>
      <c r="B5" t="s">
        <v>45</v>
      </c>
      <c r="C5">
        <v>1</v>
      </c>
      <c r="D5">
        <v>1</v>
      </c>
      <c r="E5">
        <v>1</v>
      </c>
      <c r="F5">
        <v>1</v>
      </c>
    </row>
    <row r="6" spans="1:6" x14ac:dyDescent="0.2">
      <c r="A6">
        <v>1005</v>
      </c>
      <c r="B6" t="s">
        <v>48</v>
      </c>
      <c r="C6">
        <v>1</v>
      </c>
      <c r="D6">
        <v>1</v>
      </c>
      <c r="E6">
        <v>1</v>
      </c>
      <c r="F6">
        <v>1</v>
      </c>
    </row>
    <row r="7" spans="1:6" x14ac:dyDescent="0.2">
      <c r="A7">
        <v>1006</v>
      </c>
      <c r="B7" t="s">
        <v>46</v>
      </c>
      <c r="C7">
        <v>1</v>
      </c>
      <c r="D7">
        <v>1</v>
      </c>
      <c r="E7">
        <v>1</v>
      </c>
      <c r="F7">
        <v>1</v>
      </c>
    </row>
    <row r="8" spans="1:6" x14ac:dyDescent="0.2">
      <c r="A8">
        <v>1007</v>
      </c>
      <c r="B8" t="s">
        <v>47</v>
      </c>
      <c r="C8">
        <v>1</v>
      </c>
      <c r="D8">
        <v>1</v>
      </c>
      <c r="E8">
        <v>1</v>
      </c>
      <c r="F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0"/>
  <sheetViews>
    <sheetView workbookViewId="0">
      <selection activeCell="A9" sqref="A9"/>
    </sheetView>
  </sheetViews>
  <sheetFormatPr defaultRowHeight="16.5" x14ac:dyDescent="0.2"/>
  <cols>
    <col min="1" max="1" width="9.625" style="2" bestFit="1" customWidth="1"/>
    <col min="2" max="2" width="4.75" style="2" bestFit="1" customWidth="1"/>
    <col min="3" max="4" width="4.75" style="2" customWidth="1"/>
    <col min="5" max="6" width="4.75" style="2" bestFit="1" customWidth="1"/>
    <col min="7" max="7" width="4.25" style="2" customWidth="1"/>
    <col min="8" max="8" width="4.875" style="2" customWidth="1"/>
    <col min="9" max="14" width="4.25" style="2" customWidth="1"/>
    <col min="15" max="15" width="67.25" style="2" bestFit="1" customWidth="1"/>
    <col min="16" max="16384" width="9" style="2"/>
  </cols>
  <sheetData>
    <row r="1" spans="1:15" s="1" customFormat="1" ht="33" x14ac:dyDescent="0.2">
      <c r="A1" s="1" t="s">
        <v>0</v>
      </c>
      <c r="B1" s="1" t="s">
        <v>8</v>
      </c>
      <c r="C1" s="1" t="s">
        <v>25</v>
      </c>
      <c r="D1" s="1" t="s">
        <v>29</v>
      </c>
      <c r="E1" s="1" t="s">
        <v>1</v>
      </c>
      <c r="F1" s="1" t="s">
        <v>2</v>
      </c>
      <c r="G1" s="1" t="s">
        <v>3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31</v>
      </c>
    </row>
    <row r="2" spans="1:15" x14ac:dyDescent="0.2">
      <c r="A2" s="2" t="s">
        <v>4</v>
      </c>
      <c r="B2" s="2" t="s">
        <v>9</v>
      </c>
      <c r="C2" s="2" t="s">
        <v>18</v>
      </c>
      <c r="E2" s="2">
        <v>1</v>
      </c>
      <c r="F2" s="2" t="s">
        <v>10</v>
      </c>
      <c r="G2" s="2">
        <f>VLOOKUP($E2&amp;$C2,'#参数'!$A:$K,MATCH(G$1,'#参数'!$1:$1,0),0)</f>
        <v>0</v>
      </c>
      <c r="H2" s="2">
        <f>VLOOKUP($E2&amp;$C2,'#参数'!$A:$K,MATCH(H$1,'#参数'!$1:$1,0),0)</f>
        <v>100</v>
      </c>
      <c r="I2" s="2">
        <f>VLOOKUP($E2&amp;$C2,'#参数'!$A:$K,MATCH(I$1,'#参数'!$1:$1,0),0)</f>
        <v>1</v>
      </c>
      <c r="J2" s="2">
        <f>VLOOKUP($E2&amp;$C2,'#参数'!$A:$K,MATCH(J$1,'#参数'!$1:$1,0),0)</f>
        <v>0</v>
      </c>
      <c r="K2" s="2">
        <f>VLOOKUP($E2&amp;$C2,'#参数'!$A:$K,MATCH(K$1,'#参数'!$1:$1,0),0)</f>
        <v>10</v>
      </c>
      <c r="L2" s="2">
        <f>VLOOKUP($E2&amp;$C2,'#参数'!$A:$K,MATCH(L$1,'#参数'!$1:$1,0),0)</f>
        <v>50</v>
      </c>
      <c r="M2" s="2">
        <f>VLOOKUP($E2&amp;$C2,'#参数'!$A:$K,MATCH(M$1,'#参数'!$1:$1,0),0)</f>
        <v>0</v>
      </c>
      <c r="N2" s="2">
        <f>VLOOKUP($E2&amp;$C2,'#参数'!$A:$K,MATCH(N$1,'#参数'!$1:$1,0),0)</f>
        <v>10</v>
      </c>
    </row>
    <row r="3" spans="1:15" x14ac:dyDescent="0.2">
      <c r="A3" s="2" t="s">
        <v>5</v>
      </c>
      <c r="B3" s="2" t="s">
        <v>9</v>
      </c>
      <c r="C3" s="2" t="s">
        <v>19</v>
      </c>
      <c r="E3" s="2">
        <v>1</v>
      </c>
      <c r="F3" s="2" t="s">
        <v>10</v>
      </c>
      <c r="G3" s="2">
        <f>VLOOKUP($E3&amp;$C3,'#参数'!$A:$K,MATCH(G$1,'#参数'!$1:$1,0),0)</f>
        <v>0</v>
      </c>
      <c r="H3" s="2">
        <f>VLOOKUP($E3&amp;$C3,'#参数'!$A:$K,MATCH(H$1,'#参数'!$1:$1,0),0)</f>
        <v>100</v>
      </c>
      <c r="I3" s="2">
        <f>VLOOKUP($E3&amp;$C3,'#参数'!$A:$K,MATCH(I$1,'#参数'!$1:$1,0),0)</f>
        <v>0</v>
      </c>
      <c r="J3" s="2">
        <f>VLOOKUP($E3&amp;$C3,'#参数'!$A:$K,MATCH(J$1,'#参数'!$1:$1,0),0)</f>
        <v>1</v>
      </c>
      <c r="K3" s="2">
        <f>VLOOKUP($E3&amp;$C3,'#参数'!$A:$K,MATCH(K$1,'#参数'!$1:$1,0),0)</f>
        <v>10</v>
      </c>
      <c r="L3" s="2">
        <f>VLOOKUP($E3&amp;$C3,'#参数'!$A:$K,MATCH(L$1,'#参数'!$1:$1,0),0)</f>
        <v>0</v>
      </c>
      <c r="M3" s="2">
        <f>VLOOKUP($E3&amp;$C3,'#参数'!$A:$K,MATCH(M$1,'#参数'!$1:$1,0),0)</f>
        <v>50</v>
      </c>
      <c r="N3" s="2">
        <f>VLOOKUP($E3&amp;$C3,'#参数'!$A:$K,MATCH(N$1,'#参数'!$1:$1,0),0)</f>
        <v>10</v>
      </c>
    </row>
    <row r="4" spans="1:15" x14ac:dyDescent="0.2">
      <c r="A4" s="2" t="s">
        <v>22</v>
      </c>
      <c r="B4" s="2" t="s">
        <v>9</v>
      </c>
      <c r="C4" s="2" t="s">
        <v>18</v>
      </c>
      <c r="E4" s="2">
        <v>3</v>
      </c>
      <c r="F4" s="2" t="s">
        <v>10</v>
      </c>
      <c r="G4" s="2">
        <f>VLOOKUP($E4&amp;$C4,'#参数'!$A:$K,MATCH(G$1,'#参数'!$1:$1,0),0)</f>
        <v>20</v>
      </c>
      <c r="H4" s="2">
        <f>VLOOKUP($E4&amp;$C4,'#参数'!$A:$K,MATCH(H$1,'#参数'!$1:$1,0),0)</f>
        <v>400</v>
      </c>
      <c r="I4" s="2">
        <f>VLOOKUP($E4&amp;$C4,'#参数'!$A:$K,MATCH(I$1,'#参数'!$1:$1,0),0)</f>
        <v>1.3</v>
      </c>
      <c r="J4" s="2">
        <f>VLOOKUP($E4&amp;$C4,'#参数'!$A:$K,MATCH(J$1,'#参数'!$1:$1,0),0)</f>
        <v>0</v>
      </c>
      <c r="K4" s="2">
        <f>VLOOKUP($E4&amp;$C4,'#参数'!$A:$K,MATCH(K$1,'#参数'!$1:$1,0),0)</f>
        <v>30</v>
      </c>
      <c r="L4" s="2">
        <f>VLOOKUP($E4&amp;$C4,'#参数'!$A:$K,MATCH(L$1,'#参数'!$1:$1,0),0)</f>
        <v>80</v>
      </c>
      <c r="M4" s="2">
        <f>VLOOKUP($E4&amp;$C4,'#参数'!$A:$K,MATCH(M$1,'#参数'!$1:$1,0),0)</f>
        <v>0</v>
      </c>
      <c r="N4" s="2">
        <f>VLOOKUP($E4&amp;$C4,'#参数'!$A:$K,MATCH(N$1,'#参数'!$1:$1,0),0)</f>
        <v>40</v>
      </c>
    </row>
    <row r="5" spans="1:15" x14ac:dyDescent="0.2">
      <c r="A5" s="2" t="s">
        <v>6</v>
      </c>
      <c r="B5" s="2" t="s">
        <v>9</v>
      </c>
      <c r="C5" s="2" t="s">
        <v>18</v>
      </c>
      <c r="E5" s="2">
        <v>3</v>
      </c>
      <c r="F5" s="2" t="s">
        <v>10</v>
      </c>
      <c r="G5" s="2">
        <f>VLOOKUP($E5&amp;$C5,'#参数'!$A:$K,MATCH(G$1,'#参数'!$1:$1,0),0)</f>
        <v>20</v>
      </c>
      <c r="H5" s="2">
        <f>VLOOKUP($E5&amp;$C5,'#参数'!$A:$K,MATCH(H$1,'#参数'!$1:$1,0),0)</f>
        <v>400</v>
      </c>
      <c r="I5" s="2">
        <f>VLOOKUP($E5&amp;$C5,'#参数'!$A:$K,MATCH(I$1,'#参数'!$1:$1,0),0)</f>
        <v>1.3</v>
      </c>
      <c r="J5" s="2">
        <f>VLOOKUP($E5&amp;$C5,'#参数'!$A:$K,MATCH(J$1,'#参数'!$1:$1,0),0)</f>
        <v>0</v>
      </c>
      <c r="K5" s="2">
        <f>VLOOKUP($E5&amp;$C5,'#参数'!$A:$K,MATCH(K$1,'#参数'!$1:$1,0),0)</f>
        <v>30</v>
      </c>
      <c r="L5" s="2">
        <f>VLOOKUP($E5&amp;$C5,'#参数'!$A:$K,MATCH(L$1,'#参数'!$1:$1,0),0)</f>
        <v>80</v>
      </c>
      <c r="M5" s="2">
        <f>VLOOKUP($E5&amp;$C5,'#参数'!$A:$K,MATCH(M$1,'#参数'!$1:$1,0),0)</f>
        <v>0</v>
      </c>
      <c r="N5" s="2">
        <f>VLOOKUP($E5&amp;$C5,'#参数'!$A:$K,MATCH(N$1,'#参数'!$1:$1,0),0)</f>
        <v>40</v>
      </c>
    </row>
    <row r="6" spans="1:15" x14ac:dyDescent="0.2">
      <c r="A6" s="2" t="s">
        <v>23</v>
      </c>
      <c r="B6" s="2" t="s">
        <v>9</v>
      </c>
      <c r="C6" s="2" t="s">
        <v>18</v>
      </c>
      <c r="D6" s="2" t="s">
        <v>27</v>
      </c>
      <c r="E6" s="2">
        <v>4</v>
      </c>
      <c r="F6" s="2" t="s">
        <v>10</v>
      </c>
      <c r="G6" s="2">
        <f>VLOOKUP($E6&amp;$C6,'#参数'!$A:$K,MATCH(G$1,'#参数'!$1:$1,0),0)</f>
        <v>50</v>
      </c>
      <c r="H6" s="2">
        <f>VLOOKUP($E6&amp;$C6,'#参数'!$A:$K,MATCH(H$1,'#参数'!$1:$1,0),0)</f>
        <v>800</v>
      </c>
      <c r="I6" s="2">
        <f>VLOOKUP($E6&amp;$C6,'#参数'!$A:$K,MATCH(I$1,'#参数'!$1:$1,0),0)</f>
        <v>1.6</v>
      </c>
      <c r="J6" s="2">
        <f>VLOOKUP($E6&amp;$C6,'#参数'!$A:$K,MATCH(J$1,'#参数'!$1:$1,0),0)</f>
        <v>0</v>
      </c>
      <c r="K6" s="2">
        <f>VLOOKUP($E6&amp;$C6,'#参数'!$A:$K,MATCH(K$1,'#参数'!$1:$1,0),0)</f>
        <v>40</v>
      </c>
      <c r="L6" s="2">
        <f>VLOOKUP($E6&amp;$C6,'#参数'!$A:$K,MATCH(L$1,'#参数'!$1:$1,0),0)</f>
        <v>120</v>
      </c>
      <c r="M6" s="2">
        <f>VLOOKUP($E6&amp;$C6,'#参数'!$A:$K,MATCH(M$1,'#参数'!$1:$1,0),0)</f>
        <v>0</v>
      </c>
      <c r="N6" s="2">
        <f>VLOOKUP($E6&amp;$C6,'#参数'!$A:$K,MATCH(N$1,'#参数'!$1:$1,0),0)</f>
        <v>80</v>
      </c>
      <c r="O6" s="2" t="s">
        <v>34</v>
      </c>
    </row>
    <row r="7" spans="1:15" x14ac:dyDescent="0.2">
      <c r="A7" s="2" t="s">
        <v>24</v>
      </c>
      <c r="B7" s="2" t="s">
        <v>9</v>
      </c>
      <c r="C7" s="2" t="s">
        <v>19</v>
      </c>
      <c r="D7" s="2" t="s">
        <v>30</v>
      </c>
      <c r="E7" s="2">
        <v>4</v>
      </c>
      <c r="F7" s="2" t="s">
        <v>10</v>
      </c>
      <c r="G7" s="2">
        <f>VLOOKUP($E7&amp;$C7,'#参数'!$A:$K,MATCH(G$1,'#参数'!$1:$1,0),0)</f>
        <v>50</v>
      </c>
      <c r="H7" s="2">
        <f>VLOOKUP($E7&amp;$C7,'#参数'!$A:$K,MATCH(H$1,'#参数'!$1:$1,0),0)</f>
        <v>800</v>
      </c>
      <c r="I7" s="2">
        <f>VLOOKUP($E7&amp;$C7,'#参数'!$A:$K,MATCH(I$1,'#参数'!$1:$1,0),0)</f>
        <v>0</v>
      </c>
      <c r="J7" s="2">
        <f>VLOOKUP($E7&amp;$C7,'#参数'!$A:$K,MATCH(J$1,'#参数'!$1:$1,0),0)</f>
        <v>1.6</v>
      </c>
      <c r="K7" s="2">
        <f>VLOOKUP($E7&amp;$C7,'#参数'!$A:$K,MATCH(K$1,'#参数'!$1:$1,0),0)</f>
        <v>40</v>
      </c>
      <c r="L7" s="2">
        <f>VLOOKUP($E7&amp;$C7,'#参数'!$A:$K,MATCH(L$1,'#参数'!$1:$1,0),0)</f>
        <v>0</v>
      </c>
      <c r="M7" s="2">
        <f>VLOOKUP($E7&amp;$C7,'#参数'!$A:$K,MATCH(M$1,'#参数'!$1:$1,0),0)</f>
        <v>120</v>
      </c>
      <c r="N7" s="2">
        <f>VLOOKUP($E7&amp;$C7,'#参数'!$A:$K,MATCH(N$1,'#参数'!$1:$1,0),0)</f>
        <v>80</v>
      </c>
      <c r="O7" s="2" t="s">
        <v>33</v>
      </c>
    </row>
    <row r="8" spans="1:15" x14ac:dyDescent="0.2">
      <c r="A8" s="2" t="s">
        <v>7</v>
      </c>
      <c r="B8" s="2" t="s">
        <v>9</v>
      </c>
      <c r="C8" s="2" t="s">
        <v>19</v>
      </c>
      <c r="D8" s="2" t="s">
        <v>27</v>
      </c>
      <c r="E8" s="2">
        <v>5</v>
      </c>
      <c r="F8" s="2" t="s">
        <v>10</v>
      </c>
      <c r="G8" s="2">
        <f>VLOOKUP($E8&amp;$C8,'#参数'!$A:$K,MATCH(G$1,'#参数'!$1:$1,0),0)</f>
        <v>90</v>
      </c>
      <c r="H8" s="2">
        <f>VLOOKUP($E8&amp;$C8,'#参数'!$A:$K,MATCH(H$1,'#参数'!$1:$1,0),0)</f>
        <v>1600</v>
      </c>
      <c r="I8" s="2">
        <f>VLOOKUP($E8&amp;$C8,'#参数'!$A:$K,MATCH(I$1,'#参数'!$1:$1,0),0)</f>
        <v>0</v>
      </c>
      <c r="J8" s="2">
        <f>VLOOKUP($E8&amp;$C8,'#参数'!$A:$K,MATCH(J$1,'#参数'!$1:$1,0),0)</f>
        <v>2</v>
      </c>
      <c r="K8" s="2">
        <f>VLOOKUP($E8&amp;$C8,'#参数'!$A:$K,MATCH(K$1,'#参数'!$1:$1,0),0)</f>
        <v>50</v>
      </c>
      <c r="L8" s="2">
        <f>VLOOKUP($E8&amp;$C8,'#参数'!$A:$K,MATCH(L$1,'#参数'!$1:$1,0),0)</f>
        <v>0</v>
      </c>
      <c r="M8" s="2">
        <f>VLOOKUP($E8&amp;$C8,'#参数'!$A:$K,MATCH(M$1,'#参数'!$1:$1,0),0)</f>
        <v>200</v>
      </c>
      <c r="N8" s="2">
        <f>VLOOKUP($E8&amp;$C8,'#参数'!$A:$K,MATCH(N$1,'#参数'!$1:$1,0),0)</f>
        <v>160</v>
      </c>
      <c r="O8" s="2" t="s">
        <v>32</v>
      </c>
    </row>
    <row r="19" spans="1:4" x14ac:dyDescent="0.2">
      <c r="A19" s="2" t="s">
        <v>26</v>
      </c>
      <c r="B19" s="2" t="s">
        <v>9</v>
      </c>
      <c r="C19" s="2" t="s">
        <v>18</v>
      </c>
      <c r="D19" s="2" t="s">
        <v>27</v>
      </c>
    </row>
    <row r="20" spans="1:4" x14ac:dyDescent="0.2">
      <c r="A20" s="2" t="s">
        <v>35</v>
      </c>
      <c r="B20" s="2" t="s">
        <v>9</v>
      </c>
      <c r="C20" s="2" t="s">
        <v>18</v>
      </c>
      <c r="D20" s="2" t="s"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#参数</vt:lpstr>
      <vt:lpstr>BaseProperty</vt:lpstr>
      <vt:lpstr>Hero</vt:lpstr>
      <vt:lpstr>Skill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2023-10-02T11:20:09Z</dcterms:modified>
</cp:coreProperties>
</file>